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D:\data-analysis-set-d-9697\excel\"/>
    </mc:Choice>
  </mc:AlternateContent>
  <xr:revisionPtr revIDLastSave="0" documentId="8_{9FECFE03-C22A-4DA7-93D2-B9BD0C6F5AAE}" xr6:coauthVersionLast="47" xr6:coauthVersionMax="47" xr10:uidLastSave="{00000000-0000-0000-0000-000000000000}"/>
  <bookViews>
    <workbookView xWindow="-108" yWindow="-108" windowWidth="23256" windowHeight="13176" activeTab="3" xr2:uid="{6142D479-A0FF-4A24-AE9C-02DED4682C31}"/>
  </bookViews>
  <sheets>
    <sheet name="Raw" sheetId="1" r:id="rId1"/>
    <sheet name="Lookup" sheetId="2" r:id="rId2"/>
    <sheet name="Clean" sheetId="3" r:id="rId3"/>
    <sheet name="Summary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8" i="3" l="1" a="1"/>
  <c r="K4" i="3"/>
  <c r="K3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<sst xmlns="http://schemas.openxmlformats.org/spreadsheetml/2006/main" count="123" uniqueCount="26">
  <si>
    <t>record_id</t>
  </si>
  <si>
    <t>month</t>
  </si>
  <si>
    <t>route_id</t>
  </si>
  <si>
    <t>hub</t>
  </si>
  <si>
    <t>promised_days</t>
  </si>
  <si>
    <t>actual_days</t>
  </si>
  <si>
    <t>Jan</t>
  </si>
  <si>
    <t>R1</t>
  </si>
  <si>
    <t>Mumbai</t>
  </si>
  <si>
    <t>R2</t>
  </si>
  <si>
    <t>Chennai</t>
  </si>
  <si>
    <t>R3</t>
  </si>
  <si>
    <t>Delhi</t>
  </si>
  <si>
    <t>R4</t>
  </si>
  <si>
    <t>Feb</t>
  </si>
  <si>
    <t>Mar</t>
  </si>
  <si>
    <t>route</t>
  </si>
  <si>
    <t>service_type</t>
  </si>
  <si>
    <t>Metro Link</t>
  </si>
  <si>
    <t>Express</t>
  </si>
  <si>
    <t>City Dash</t>
  </si>
  <si>
    <t>Highway Freight</t>
  </si>
  <si>
    <t>Standard</t>
  </si>
  <si>
    <t>Rural Feeder</t>
  </si>
  <si>
    <t>before</t>
  </si>
  <si>
    <t>after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</si>
</sst>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682941-DD7E-47CC-A904-E2091AA6C58A}">
  <dimension ref="A1:F14"/>
  <sheetViews>
    <sheetView workbookViewId="0">
      <selection sqref="A1:F14"/>
    </sheetView>
  </sheetViews>
  <sheetFormatPr defaultRowHeight="14.4" x14ac:dyDescent="0.3"/>
  <cols>
    <col min="6" max="6" width="10.44140625" bestFit="1" customWidth="1"/>
  </cols>
  <sheetData>
    <row r="1" spans="1:6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3">
      <c r="A2" s="1">
        <v>1</v>
      </c>
      <c r="B2" s="1" t="s">
        <v>6</v>
      </c>
      <c r="C2" s="1" t="s">
        <v>7</v>
      </c>
      <c r="D2" s="1" t="s">
        <v>8</v>
      </c>
      <c r="E2" s="1">
        <v>2</v>
      </c>
      <c r="F2" s="1">
        <v>2</v>
      </c>
    </row>
    <row r="3" spans="1:6" x14ac:dyDescent="0.3">
      <c r="A3" s="1">
        <v>2</v>
      </c>
      <c r="B3" s="1" t="s">
        <v>6</v>
      </c>
      <c r="C3" s="1" t="s">
        <v>9</v>
      </c>
      <c r="D3" s="1" t="s">
        <v>10</v>
      </c>
      <c r="E3" s="1">
        <v>3</v>
      </c>
      <c r="F3" s="1">
        <v>4</v>
      </c>
    </row>
    <row r="4" spans="1:6" x14ac:dyDescent="0.3">
      <c r="A4" s="1">
        <v>3</v>
      </c>
      <c r="B4" s="1" t="s">
        <v>6</v>
      </c>
      <c r="C4" s="1" t="s">
        <v>11</v>
      </c>
      <c r="D4" s="1" t="s">
        <v>12</v>
      </c>
      <c r="E4" s="1">
        <v>5</v>
      </c>
      <c r="F4" s="1">
        <v>8</v>
      </c>
    </row>
    <row r="5" spans="1:6" x14ac:dyDescent="0.3">
      <c r="A5" s="1">
        <v>4</v>
      </c>
      <c r="B5" s="1" t="s">
        <v>6</v>
      </c>
      <c r="C5" s="1" t="s">
        <v>13</v>
      </c>
      <c r="D5" s="1" t="s">
        <v>8</v>
      </c>
      <c r="E5" s="1">
        <v>6</v>
      </c>
      <c r="F5" s="1">
        <v>10</v>
      </c>
    </row>
    <row r="6" spans="1:6" x14ac:dyDescent="0.3">
      <c r="A6" s="1">
        <v>5</v>
      </c>
      <c r="B6" s="1" t="s">
        <v>14</v>
      </c>
      <c r="C6" s="1" t="s">
        <v>7</v>
      </c>
      <c r="D6" s="1" t="s">
        <v>10</v>
      </c>
      <c r="E6" s="1">
        <v>2</v>
      </c>
      <c r="F6" s="1">
        <v>5</v>
      </c>
    </row>
    <row r="7" spans="1:6" x14ac:dyDescent="0.3">
      <c r="A7" s="1">
        <v>6</v>
      </c>
      <c r="B7" s="1" t="s">
        <v>14</v>
      </c>
      <c r="C7" s="1" t="s">
        <v>9</v>
      </c>
      <c r="D7" s="1" t="s">
        <v>12</v>
      </c>
      <c r="E7" s="1">
        <v>3</v>
      </c>
      <c r="F7" s="1">
        <v>3</v>
      </c>
    </row>
    <row r="8" spans="1:6" x14ac:dyDescent="0.3">
      <c r="A8" s="1">
        <v>7</v>
      </c>
      <c r="B8" s="1" t="s">
        <v>14</v>
      </c>
      <c r="C8" s="1" t="s">
        <v>11</v>
      </c>
      <c r="D8" s="1" t="s">
        <v>12</v>
      </c>
      <c r="E8" s="1">
        <v>5</v>
      </c>
      <c r="F8" s="1">
        <v>10</v>
      </c>
    </row>
    <row r="9" spans="1:6" x14ac:dyDescent="0.3">
      <c r="A9" s="1">
        <v>8</v>
      </c>
      <c r="B9" s="1" t="s">
        <v>14</v>
      </c>
      <c r="C9" s="1" t="s">
        <v>13</v>
      </c>
      <c r="D9" s="1" t="s">
        <v>10</v>
      </c>
      <c r="E9" s="1">
        <v>6</v>
      </c>
      <c r="F9" s="1">
        <v>7</v>
      </c>
    </row>
    <row r="10" spans="1:6" x14ac:dyDescent="0.3">
      <c r="A10" s="1">
        <v>9</v>
      </c>
      <c r="B10" s="1" t="s">
        <v>15</v>
      </c>
      <c r="C10" s="1" t="s">
        <v>7</v>
      </c>
      <c r="D10" s="1" t="s">
        <v>12</v>
      </c>
      <c r="E10" s="1">
        <v>2</v>
      </c>
      <c r="F10" s="1">
        <v>8</v>
      </c>
    </row>
    <row r="11" spans="1:6" x14ac:dyDescent="0.3">
      <c r="A11" s="1">
        <v>10</v>
      </c>
      <c r="B11" s="1" t="s">
        <v>15</v>
      </c>
      <c r="C11" s="1" t="s">
        <v>9</v>
      </c>
      <c r="D11" s="1" t="s">
        <v>8</v>
      </c>
      <c r="E11" s="1">
        <v>3</v>
      </c>
      <c r="F11" s="1">
        <v>5</v>
      </c>
    </row>
    <row r="12" spans="1:6" x14ac:dyDescent="0.3">
      <c r="A12" s="1">
        <v>11</v>
      </c>
      <c r="B12" s="1" t="s">
        <v>15</v>
      </c>
      <c r="C12" s="1" t="s">
        <v>11</v>
      </c>
      <c r="D12" s="1" t="s">
        <v>10</v>
      </c>
      <c r="E12" s="1">
        <v>5</v>
      </c>
      <c r="F12" s="1">
        <v>5</v>
      </c>
    </row>
    <row r="13" spans="1:6" x14ac:dyDescent="0.3">
      <c r="A13" s="1">
        <v>12</v>
      </c>
      <c r="B13" s="1" t="s">
        <v>15</v>
      </c>
      <c r="C13" s="1" t="s">
        <v>13</v>
      </c>
      <c r="D13" s="1" t="s">
        <v>8</v>
      </c>
      <c r="E13" s="1">
        <v>6</v>
      </c>
      <c r="F13" s="1">
        <v>15</v>
      </c>
    </row>
    <row r="14" spans="1:6" x14ac:dyDescent="0.3">
      <c r="A14" s="1">
        <v>12</v>
      </c>
      <c r="B14" s="1" t="s">
        <v>15</v>
      </c>
      <c r="C14" s="1" t="s">
        <v>13</v>
      </c>
      <c r="D14" s="1" t="s">
        <v>8</v>
      </c>
      <c r="E14" s="1">
        <v>6</v>
      </c>
      <c r="F14" s="1">
        <v>15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7C7FAE-BA91-4B19-B321-5C007079B8BB}">
  <dimension ref="A1:C5"/>
  <sheetViews>
    <sheetView workbookViewId="0">
      <selection sqref="A1:C5"/>
    </sheetView>
  </sheetViews>
  <sheetFormatPr defaultRowHeight="14.4" x14ac:dyDescent="0.3"/>
  <cols>
    <col min="3" max="3" width="10.88671875" bestFit="1" customWidth="1"/>
  </cols>
  <sheetData>
    <row r="1" spans="1:3" x14ac:dyDescent="0.3">
      <c r="A1" s="1" t="s">
        <v>2</v>
      </c>
      <c r="B1" s="1" t="s">
        <v>16</v>
      </c>
      <c r="C1" s="1" t="s">
        <v>17</v>
      </c>
    </row>
    <row r="2" spans="1:3" x14ac:dyDescent="0.3">
      <c r="A2" s="1" t="s">
        <v>7</v>
      </c>
      <c r="B2" s="1" t="s">
        <v>18</v>
      </c>
      <c r="C2" s="1" t="s">
        <v>19</v>
      </c>
    </row>
    <row r="3" spans="1:3" x14ac:dyDescent="0.3">
      <c r="A3" s="1" t="s">
        <v>9</v>
      </c>
      <c r="B3" s="1" t="s">
        <v>20</v>
      </c>
      <c r="C3" s="1" t="s">
        <v>19</v>
      </c>
    </row>
    <row r="4" spans="1:3" x14ac:dyDescent="0.3">
      <c r="A4" s="1" t="s">
        <v>11</v>
      </c>
      <c r="B4" s="1" t="s">
        <v>21</v>
      </c>
      <c r="C4" s="1" t="s">
        <v>22</v>
      </c>
    </row>
    <row r="5" spans="1:3" x14ac:dyDescent="0.3">
      <c r="A5" s="1" t="s">
        <v>13</v>
      </c>
      <c r="B5" s="1" t="s">
        <v>23</v>
      </c>
      <c r="C5" s="1" t="s">
        <v>22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8311B0-1620-46E3-B885-C07B445FE5E3}">
  <dimension ref="A1:K21"/>
  <sheetViews>
    <sheetView workbookViewId="0">
      <selection activeCell="F25" sqref="F25"/>
    </sheetView>
  </sheetViews>
  <sheetFormatPr defaultRowHeight="14.4" x14ac:dyDescent="0.3"/>
  <cols>
    <col min="2" max="2" width="13.77734375" bestFit="1" customWidth="1"/>
    <col min="3" max="3" width="10.88671875" bestFit="1" customWidth="1"/>
    <col min="7" max="7" width="13.77734375" bestFit="1" customWidth="1"/>
    <col min="8" max="8" width="10.88671875" bestFit="1" customWidth="1"/>
  </cols>
  <sheetData>
    <row r="1" spans="1:1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11" x14ac:dyDescent="0.3">
      <c r="A2" s="1">
        <v>1</v>
      </c>
      <c r="B2" s="1" t="s">
        <v>6</v>
      </c>
      <c r="C2" s="1" t="s">
        <v>7</v>
      </c>
      <c r="D2" s="1" t="s">
        <v>8</v>
      </c>
      <c r="E2" s="1">
        <v>2</v>
      </c>
      <c r="F2" s="1">
        <v>2</v>
      </c>
    </row>
    <row r="3" spans="1:11" x14ac:dyDescent="0.3">
      <c r="A3" s="1">
        <v>2</v>
      </c>
      <c r="B3" s="1" t="s">
        <v>6</v>
      </c>
      <c r="C3" s="1" t="s">
        <v>9</v>
      </c>
      <c r="D3" s="1" t="s">
        <v>10</v>
      </c>
      <c r="E3" s="1">
        <v>3</v>
      </c>
      <c r="F3" s="1">
        <v>4</v>
      </c>
      <c r="J3" s="1" t="s">
        <v>24</v>
      </c>
      <c r="K3" s="1">
        <f>COUNTA(Raw!A2:A14)</f>
        <v>13</v>
      </c>
    </row>
    <row r="4" spans="1:11" x14ac:dyDescent="0.3">
      <c r="A4" s="1">
        <v>3</v>
      </c>
      <c r="B4" s="1" t="s">
        <v>6</v>
      </c>
      <c r="C4" s="1" t="s">
        <v>11</v>
      </c>
      <c r="D4" s="1" t="s">
        <v>12</v>
      </c>
      <c r="E4" s="1">
        <v>5</v>
      </c>
      <c r="F4" s="1">
        <v>8</v>
      </c>
      <c r="J4" s="1" t="s">
        <v>25</v>
      </c>
      <c r="K4" s="1">
        <f>COUNTA(A2:A13)</f>
        <v>12</v>
      </c>
    </row>
    <row r="5" spans="1:11" x14ac:dyDescent="0.3">
      <c r="A5" s="1">
        <v>4</v>
      </c>
      <c r="B5" s="1" t="s">
        <v>6</v>
      </c>
      <c r="C5" s="1" t="s">
        <v>13</v>
      </c>
      <c r="D5" s="1" t="s">
        <v>8</v>
      </c>
      <c r="E5" s="1">
        <v>6</v>
      </c>
      <c r="F5" s="1">
        <v>10</v>
      </c>
    </row>
    <row r="6" spans="1:11" x14ac:dyDescent="0.3">
      <c r="A6" s="1">
        <v>5</v>
      </c>
      <c r="B6" s="1" t="s">
        <v>14</v>
      </c>
      <c r="C6" s="1" t="s">
        <v>7</v>
      </c>
      <c r="D6" s="1" t="s">
        <v>10</v>
      </c>
      <c r="E6" s="1">
        <v>2</v>
      </c>
      <c r="F6" s="1">
        <v>5</v>
      </c>
    </row>
    <row r="7" spans="1:11" x14ac:dyDescent="0.3">
      <c r="A7" s="1">
        <v>6</v>
      </c>
      <c r="B7" s="1" t="s">
        <v>14</v>
      </c>
      <c r="C7" s="1" t="s">
        <v>9</v>
      </c>
      <c r="D7" s="1" t="s">
        <v>12</v>
      </c>
      <c r="E7" s="1">
        <v>3</v>
      </c>
      <c r="F7" s="1">
        <v>3</v>
      </c>
    </row>
    <row r="8" spans="1:11" x14ac:dyDescent="0.3">
      <c r="A8" s="1">
        <v>7</v>
      </c>
      <c r="B8" s="1" t="s">
        <v>14</v>
      </c>
      <c r="C8" s="1" t="s">
        <v>11</v>
      </c>
      <c r="D8" s="1" t="s">
        <v>12</v>
      </c>
      <c r="E8" s="1">
        <v>5</v>
      </c>
      <c r="F8" s="1">
        <v>10</v>
      </c>
    </row>
    <row r="9" spans="1:11" x14ac:dyDescent="0.3">
      <c r="A9" s="1">
        <v>8</v>
      </c>
      <c r="B9" s="1" t="s">
        <v>14</v>
      </c>
      <c r="C9" s="1" t="s">
        <v>13</v>
      </c>
      <c r="D9" s="1" t="s">
        <v>10</v>
      </c>
      <c r="E9" s="1">
        <v>6</v>
      </c>
      <c r="F9" s="1">
        <v>7</v>
      </c>
    </row>
    <row r="10" spans="1:11" x14ac:dyDescent="0.3">
      <c r="A10" s="1">
        <v>9</v>
      </c>
      <c r="B10" s="1" t="s">
        <v>15</v>
      </c>
      <c r="C10" s="1" t="s">
        <v>7</v>
      </c>
      <c r="D10" s="1" t="s">
        <v>12</v>
      </c>
      <c r="E10" s="1">
        <v>2</v>
      </c>
      <c r="F10" s="1">
        <v>8</v>
      </c>
    </row>
    <row r="11" spans="1:11" x14ac:dyDescent="0.3">
      <c r="A11" s="1">
        <v>10</v>
      </c>
      <c r="B11" s="1" t="s">
        <v>15</v>
      </c>
      <c r="C11" s="1" t="s">
        <v>9</v>
      </c>
      <c r="D11" s="1" t="s">
        <v>8</v>
      </c>
      <c r="E11" s="1">
        <v>3</v>
      </c>
      <c r="F11" s="1">
        <v>5</v>
      </c>
    </row>
    <row r="12" spans="1:11" x14ac:dyDescent="0.3">
      <c r="A12" s="1">
        <v>11</v>
      </c>
      <c r="B12" s="1" t="s">
        <v>15</v>
      </c>
      <c r="C12" s="1" t="s">
        <v>11</v>
      </c>
      <c r="D12" s="1" t="s">
        <v>10</v>
      </c>
      <c r="E12" s="1">
        <v>5</v>
      </c>
      <c r="F12" s="1">
        <v>5</v>
      </c>
    </row>
    <row r="13" spans="1:11" x14ac:dyDescent="0.3">
      <c r="A13" s="1">
        <v>12</v>
      </c>
      <c r="B13" s="1" t="s">
        <v>15</v>
      </c>
      <c r="C13" s="1" t="s">
        <v>13</v>
      </c>
      <c r="D13" s="1" t="s">
        <v>8</v>
      </c>
      <c r="E13" s="1">
        <v>6</v>
      </c>
      <c r="F13" s="1">
        <v>15</v>
      </c>
    </row>
    <row r="17" spans="1:8" x14ac:dyDescent="0.3">
      <c r="A17" s="1" t="s">
        <v>2</v>
      </c>
      <c r="B17" s="1" t="s">
        <v>16</v>
      </c>
      <c r="C17" s="1" t="s">
        <v>17</v>
      </c>
      <c r="F17" s="1" t="s">
        <v>2</v>
      </c>
      <c r="G17" s="1" t="s">
        <v>16</v>
      </c>
      <c r="H17" s="1" t="s">
        <v>17</v>
      </c>
    </row>
    <row r="18" spans="1:8" x14ac:dyDescent="0.3">
      <c r="A18" s="1" t="s">
        <v>7</v>
      </c>
      <c r="B18" s="1" t="s">
        <v>18</v>
      </c>
      <c r="C18" s="1" t="s">
        <v>19</v>
      </c>
      <c r="F18" s="1" t="s">
        <v>11</v>
      </c>
      <c r="G18" s="1" t="str" cm="1">
        <f t="array" ref="G18:H18">_xlfn.XLOOKUP(F18,A18:A21,B18:C21)</f>
        <v>Highway Freight</v>
      </c>
      <c r="H18" s="1" t="str">
        <v>Standard</v>
      </c>
    </row>
    <row r="19" spans="1:8" x14ac:dyDescent="0.3">
      <c r="A19" s="1" t="s">
        <v>9</v>
      </c>
      <c r="B19" s="1" t="s">
        <v>20</v>
      </c>
      <c r="C19" s="1" t="s">
        <v>19</v>
      </c>
    </row>
    <row r="20" spans="1:8" x14ac:dyDescent="0.3">
      <c r="A20" s="1" t="s">
        <v>11</v>
      </c>
      <c r="B20" s="1" t="s">
        <v>21</v>
      </c>
      <c r="C20" s="1" t="s">
        <v>22</v>
      </c>
    </row>
    <row r="21" spans="1:8" x14ac:dyDescent="0.3">
      <c r="A21" s="1" t="s">
        <v>13</v>
      </c>
      <c r="B21" s="1" t="s">
        <v>23</v>
      </c>
      <c r="C21" s="1" t="s">
        <v>22</v>
      </c>
    </row>
  </sheetData>
  <dataValidations count="1">
    <dataValidation type="list" allowBlank="1" showInputMessage="1" showErrorMessage="1" sqref="F18" xr:uid="{F5BD2E7C-2079-4B32-AD6A-F1244EE3024A}">
      <formula1>$A$18:$A$21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069C55-3743-473D-B917-C8F39CE8A98D}">
  <dimension ref="A1"/>
  <sheetViews>
    <sheetView tabSelected="1" workbookViewId="0"/>
  </sheetViews>
  <sheetFormatPr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Raw</vt:lpstr>
      <vt:lpstr>Lookup</vt:lpstr>
      <vt:lpstr>Clean</vt:lpstr>
      <vt:lpstr>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Om Vaja</dc:creator>
  <cp:lastModifiedBy>Om Vaja</cp:lastModifiedBy>
  <dcterms:created xsi:type="dcterms:W3CDTF">2026-10-10T04:43:25Z</dcterms:created>
  <dcterms:modified xsi:type="dcterms:W3CDTF">2026-10-10T04:49:33Z</dcterms:modified>
</cp:coreProperties>
</file>