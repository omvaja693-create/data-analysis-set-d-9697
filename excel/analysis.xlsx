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data-analysis-set-d-9697\excel\"/>
    </mc:Choice>
  </mc:AlternateContent>
  <xr:revisionPtr revIDLastSave="0" documentId="13_ncr:1_{3B545F05-4BB9-45B4-86FA-32A717649B78}" xr6:coauthVersionLast="47" xr6:coauthVersionMax="47" xr10:uidLastSave="{00000000-0000-0000-0000-000000000000}"/>
  <bookViews>
    <workbookView xWindow="-108" yWindow="-108" windowWidth="23256" windowHeight="13176" activeTab="3" xr2:uid="{6142D479-A0FF-4A24-AE9C-02DED4682C31}"/>
  </bookViews>
  <sheets>
    <sheet name="Raw" sheetId="1" r:id="rId1"/>
    <sheet name="Lookup" sheetId="2" r:id="rId2"/>
    <sheet name="Clean" sheetId="3" r:id="rId3"/>
    <sheet name="Summary" sheetId="4" r:id="rId4"/>
  </sheets>
  <calcPr calcId="191029"/>
  <pivotCaches>
    <pivotCache cacheId="1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4" l="1" a="1"/>
  <c r="H5" i="4" a="1"/>
  <c r="H6" i="4" a="1"/>
  <c r="H7" i="4" a="1"/>
  <c r="H8" i="4" a="1"/>
  <c r="H9" i="4" a="1"/>
  <c r="H10" i="4" a="1"/>
  <c r="H11" i="4" a="1"/>
  <c r="H12" i="4" a="1"/>
  <c r="H13" i="4" a="1"/>
  <c r="H14" i="4" a="1"/>
  <c r="H3" i="4" a="1"/>
  <c r="G18" i="3" a="1"/>
  <c r="K4" i="3"/>
  <c r="K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<sst xmlns="http://schemas.openxmlformats.org/spreadsheetml/2006/main" count="193" uniqueCount="32">
  <si>
    <t>record_id</t>
  </si>
  <si>
    <t>month</t>
  </si>
  <si>
    <t>route_id</t>
  </si>
  <si>
    <t>hub</t>
  </si>
  <si>
    <t>promised_days</t>
  </si>
  <si>
    <t>actual_days</t>
  </si>
  <si>
    <t>Jan</t>
  </si>
  <si>
    <t>R1</t>
  </si>
  <si>
    <t>Mumbai</t>
  </si>
  <si>
    <t>R2</t>
  </si>
  <si>
    <t>Chennai</t>
  </si>
  <si>
    <t>R3</t>
  </si>
  <si>
    <t>Delhi</t>
  </si>
  <si>
    <t>R4</t>
  </si>
  <si>
    <t>Feb</t>
  </si>
  <si>
    <t>Mar</t>
  </si>
  <si>
    <t>route</t>
  </si>
  <si>
    <t>service_type</t>
  </si>
  <si>
    <t>Metro Link</t>
  </si>
  <si>
    <t>Express</t>
  </si>
  <si>
    <t>City Dash</t>
  </si>
  <si>
    <t>Highway Freight</t>
  </si>
  <si>
    <t>Standard</t>
  </si>
  <si>
    <t>Rural Feeder</t>
  </si>
  <si>
    <t>before</t>
  </si>
  <si>
    <t>after</t>
  </si>
  <si>
    <t>delay_days</t>
  </si>
  <si>
    <t>pivort table source</t>
  </si>
  <si>
    <t>Sum of delay_days</t>
  </si>
  <si>
    <t>Row Labels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</si>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</sst>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1" xfId="0" applyFont="1" applyFill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[analysis.xlsx]Summary!PivotTable3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Summary!$B$18:$B$19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Summary!$A$20:$A$22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Summary!$B$20:$B$22</c:f>
              <c:numCache>
                <c:formatCode>General</c:formatCode>
                <c:ptCount val="2"/>
                <c:pt idx="0">
                  <c:v>1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8F-4C27-B78D-5ADBC9104670}"/>
            </c:ext>
          </c:extLst>
        </c:ser>
        <c:ser>
          <c:idx val="1"/>
          <c:order val="1"/>
          <c:tx>
            <c:strRef>
              <c:f>Summary!$C$18:$C$19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Summary!$A$20:$A$22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Summary!$C$20:$C$22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8F-4C27-B78D-5ADBC9104670}"/>
            </c:ext>
          </c:extLst>
        </c:ser>
        <c:ser>
          <c:idx val="2"/>
          <c:order val="2"/>
          <c:tx>
            <c:strRef>
              <c:f>Summary!$D$18:$D$19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Summary!$A$20:$A$22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Summary!$D$20:$D$22</c:f>
              <c:numCache>
                <c:formatCode>General</c:formatCode>
                <c:ptCount val="2"/>
                <c:pt idx="0">
                  <c:v>8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8F-4C27-B78D-5ADBC9104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75618192"/>
        <c:axId val="1769236272"/>
        <c:axId val="0"/>
      </c:bar3DChart>
      <c:catAx>
        <c:axId val="167561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236272"/>
        <c:crosses val="autoZero"/>
        <c:auto val="1"/>
        <c:lblAlgn val="ctr"/>
        <c:lblOffset val="100"/>
        <c:noMultiLvlLbl val="0"/>
      </c:catAx>
      <c:valAx>
        <c:axId val="176923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61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167640</xdr:colOff>
      <xdr:row>16</xdr:row>
      <xdr:rowOff>137160</xdr:rowOff>
    </xdr:from>
    <xdr:to>
      <xdr:col>13</xdr:col>
      <xdr:colOff>281940</xdr:colOff>
      <xdr:row>31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192F45-A4DD-F177-A94F-5F3E68DC6A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" refreshedDate="46305.436165393519" createdVersion="8" refreshedVersion="8" minRefreshableVersion="3" recordCount="12" xr:uid="{4FF9B8BB-0571-4C5A-9682-142A6A7252D9}">
  <cacheSource type="worksheet">
    <worksheetSource ref="A2:H14" sheet="Summary"/>
  </cacheSource>
  <cacheFields count="8">
    <cacheField name="record_id" numFmtId="0">
      <sharedItems containsSemiMixedTypes="0" containsString="0" containsNumber="1" containsInteger="1" minValue="1" maxValue="12"/>
    </cacheField>
    <cacheField name="month" numFmtId="0">
      <sharedItems count="3">
        <s v="Jan"/>
        <s v="Feb"/>
        <s v="Mar"/>
      </sharedItems>
    </cacheField>
    <cacheField name="route_id" numFmtId="0">
      <sharedItems/>
    </cacheField>
    <cacheField name="hub" numFmtId="0">
      <sharedItems/>
    </cacheField>
    <cacheField name="promised_days" numFmtId="0">
      <sharedItems containsSemiMixedTypes="0" containsString="0" containsNumber="1" containsInteger="1" minValue="2" maxValue="6"/>
    </cacheField>
    <cacheField name="actual_days" numFmtId="0">
      <sharedItems containsSemiMixedTypes="0" containsString="0" containsNumber="1" containsInteger="1" minValue="2" maxValue="15"/>
    </cacheField>
    <cacheField name="delay_days" numFmtId="0">
      <sharedItems containsSemiMixedTypes="0" containsString="0" containsNumber="1" containsInteger="1" minValue="0" maxValue="9"/>
    </cacheField>
    <cacheField name="service_type" numFmtId="0">
      <sharedItems count="2">
        <s v="Express"/>
        <s v="Standar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  <s v="R1"/>
    <s v="Mumbai"/>
    <n v="2"/>
    <n v="2"/>
    <n v="0"/>
    <x v="0"/>
  </r>
  <r>
    <n v="2"/>
    <x v="0"/>
    <s v="R2"/>
    <s v="Chennai"/>
    <n v="3"/>
    <n v="4"/>
    <n v="1"/>
    <x v="0"/>
  </r>
  <r>
    <n v="3"/>
    <x v="0"/>
    <s v="R3"/>
    <s v="Delhi"/>
    <n v="5"/>
    <n v="8"/>
    <n v="3"/>
    <x v="1"/>
  </r>
  <r>
    <n v="4"/>
    <x v="0"/>
    <s v="R4"/>
    <s v="Mumbai"/>
    <n v="6"/>
    <n v="10"/>
    <n v="4"/>
    <x v="1"/>
  </r>
  <r>
    <n v="5"/>
    <x v="1"/>
    <s v="R1"/>
    <s v="Chennai"/>
    <n v="2"/>
    <n v="5"/>
    <n v="3"/>
    <x v="0"/>
  </r>
  <r>
    <n v="6"/>
    <x v="1"/>
    <s v="R2"/>
    <s v="Delhi"/>
    <n v="3"/>
    <n v="3"/>
    <n v="0"/>
    <x v="0"/>
  </r>
  <r>
    <n v="7"/>
    <x v="1"/>
    <s v="R3"/>
    <s v="Delhi"/>
    <n v="5"/>
    <n v="10"/>
    <n v="5"/>
    <x v="1"/>
  </r>
  <r>
    <n v="8"/>
    <x v="1"/>
    <s v="R4"/>
    <s v="Chennai"/>
    <n v="6"/>
    <n v="7"/>
    <n v="1"/>
    <x v="1"/>
  </r>
  <r>
    <n v="9"/>
    <x v="2"/>
    <s v="R1"/>
    <s v="Delhi"/>
    <n v="2"/>
    <n v="8"/>
    <n v="6"/>
    <x v="0"/>
  </r>
  <r>
    <n v="10"/>
    <x v="2"/>
    <s v="R2"/>
    <s v="Mumbai"/>
    <n v="3"/>
    <n v="5"/>
    <n v="2"/>
    <x v="0"/>
  </r>
  <r>
    <n v="11"/>
    <x v="2"/>
    <s v="R3"/>
    <s v="Chennai"/>
    <n v="5"/>
    <n v="5"/>
    <n v="0"/>
    <x v="1"/>
  </r>
  <r>
    <n v="12"/>
    <x v="2"/>
    <s v="R4"/>
    <s v="Mumbai"/>
    <n v="6"/>
    <n v="15"/>
    <n v="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B567A8-7F45-45E0-81E7-2215CA85064E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8:E22" firstHeaderRow="1" firstDataRow="2" firstDataCol="1"/>
  <pivotFields count="8"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delay_days" fld="6" baseField="0" baseItem="0"/>
  </dataFields>
  <chartFormats count="3"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82941-DD7E-47CC-A904-E2091AA6C58A}">
  <dimension ref="A1:F14"/>
  <sheetViews>
    <sheetView workbookViewId="0">
      <selection sqref="A1:F14"/>
    </sheetView>
  </sheetViews>
  <sheetFormatPr defaultRowHeight="14.4" x14ac:dyDescent="0.3"/>
  <cols>
    <col min="6" max="6" width="10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</v>
      </c>
      <c r="B2" s="1" t="s">
        <v>6</v>
      </c>
      <c r="C2" s="1" t="s">
        <v>7</v>
      </c>
      <c r="D2" s="1" t="s">
        <v>8</v>
      </c>
      <c r="E2" s="1">
        <v>2</v>
      </c>
      <c r="F2" s="1">
        <v>2</v>
      </c>
    </row>
    <row r="3" spans="1:6" x14ac:dyDescent="0.3">
      <c r="A3" s="1">
        <v>2</v>
      </c>
      <c r="B3" s="1" t="s">
        <v>6</v>
      </c>
      <c r="C3" s="1" t="s">
        <v>9</v>
      </c>
      <c r="D3" s="1" t="s">
        <v>10</v>
      </c>
      <c r="E3" s="1">
        <v>3</v>
      </c>
      <c r="F3" s="1">
        <v>4</v>
      </c>
    </row>
    <row r="4" spans="1:6" x14ac:dyDescent="0.3">
      <c r="A4" s="1">
        <v>3</v>
      </c>
      <c r="B4" s="1" t="s">
        <v>6</v>
      </c>
      <c r="C4" s="1" t="s">
        <v>11</v>
      </c>
      <c r="D4" s="1" t="s">
        <v>12</v>
      </c>
      <c r="E4" s="1">
        <v>5</v>
      </c>
      <c r="F4" s="1">
        <v>8</v>
      </c>
    </row>
    <row r="5" spans="1:6" x14ac:dyDescent="0.3">
      <c r="A5" s="1">
        <v>4</v>
      </c>
      <c r="B5" s="1" t="s">
        <v>6</v>
      </c>
      <c r="C5" s="1" t="s">
        <v>13</v>
      </c>
      <c r="D5" s="1" t="s">
        <v>8</v>
      </c>
      <c r="E5" s="1">
        <v>6</v>
      </c>
      <c r="F5" s="1">
        <v>10</v>
      </c>
    </row>
    <row r="6" spans="1:6" x14ac:dyDescent="0.3">
      <c r="A6" s="1">
        <v>5</v>
      </c>
      <c r="B6" s="1" t="s">
        <v>14</v>
      </c>
      <c r="C6" s="1" t="s">
        <v>7</v>
      </c>
      <c r="D6" s="1" t="s">
        <v>10</v>
      </c>
      <c r="E6" s="1">
        <v>2</v>
      </c>
      <c r="F6" s="1">
        <v>5</v>
      </c>
    </row>
    <row r="7" spans="1:6" x14ac:dyDescent="0.3">
      <c r="A7" s="1">
        <v>6</v>
      </c>
      <c r="B7" s="1" t="s">
        <v>14</v>
      </c>
      <c r="C7" s="1" t="s">
        <v>9</v>
      </c>
      <c r="D7" s="1" t="s">
        <v>12</v>
      </c>
      <c r="E7" s="1">
        <v>3</v>
      </c>
      <c r="F7" s="1">
        <v>3</v>
      </c>
    </row>
    <row r="8" spans="1:6" x14ac:dyDescent="0.3">
      <c r="A8" s="1">
        <v>7</v>
      </c>
      <c r="B8" s="1" t="s">
        <v>14</v>
      </c>
      <c r="C8" s="1" t="s">
        <v>11</v>
      </c>
      <c r="D8" s="1" t="s">
        <v>12</v>
      </c>
      <c r="E8" s="1">
        <v>5</v>
      </c>
      <c r="F8" s="1">
        <v>10</v>
      </c>
    </row>
    <row r="9" spans="1:6" x14ac:dyDescent="0.3">
      <c r="A9" s="1">
        <v>8</v>
      </c>
      <c r="B9" s="1" t="s">
        <v>14</v>
      </c>
      <c r="C9" s="1" t="s">
        <v>13</v>
      </c>
      <c r="D9" s="1" t="s">
        <v>10</v>
      </c>
      <c r="E9" s="1">
        <v>6</v>
      </c>
      <c r="F9" s="1">
        <v>7</v>
      </c>
    </row>
    <row r="10" spans="1:6" x14ac:dyDescent="0.3">
      <c r="A10" s="1">
        <v>9</v>
      </c>
      <c r="B10" s="1" t="s">
        <v>15</v>
      </c>
      <c r="C10" s="1" t="s">
        <v>7</v>
      </c>
      <c r="D10" s="1" t="s">
        <v>12</v>
      </c>
      <c r="E10" s="1">
        <v>2</v>
      </c>
      <c r="F10" s="1">
        <v>8</v>
      </c>
    </row>
    <row r="11" spans="1:6" x14ac:dyDescent="0.3">
      <c r="A11" s="1">
        <v>10</v>
      </c>
      <c r="B11" s="1" t="s">
        <v>15</v>
      </c>
      <c r="C11" s="1" t="s">
        <v>9</v>
      </c>
      <c r="D11" s="1" t="s">
        <v>8</v>
      </c>
      <c r="E11" s="1">
        <v>3</v>
      </c>
      <c r="F11" s="1">
        <v>5</v>
      </c>
    </row>
    <row r="12" spans="1:6" x14ac:dyDescent="0.3">
      <c r="A12" s="1">
        <v>11</v>
      </c>
      <c r="B12" s="1" t="s">
        <v>15</v>
      </c>
      <c r="C12" s="1" t="s">
        <v>11</v>
      </c>
      <c r="D12" s="1" t="s">
        <v>10</v>
      </c>
      <c r="E12" s="1">
        <v>5</v>
      </c>
      <c r="F12" s="1">
        <v>5</v>
      </c>
    </row>
    <row r="13" spans="1:6" x14ac:dyDescent="0.3">
      <c r="A13" s="1">
        <v>12</v>
      </c>
      <c r="B13" s="1" t="s">
        <v>15</v>
      </c>
      <c r="C13" s="1" t="s">
        <v>13</v>
      </c>
      <c r="D13" s="1" t="s">
        <v>8</v>
      </c>
      <c r="E13" s="1">
        <v>6</v>
      </c>
      <c r="F13" s="1">
        <v>15</v>
      </c>
    </row>
    <row r="14" spans="1:6" x14ac:dyDescent="0.3">
      <c r="A14" s="1">
        <v>12</v>
      </c>
      <c r="B14" s="1" t="s">
        <v>15</v>
      </c>
      <c r="C14" s="1" t="s">
        <v>13</v>
      </c>
      <c r="D14" s="1" t="s">
        <v>8</v>
      </c>
      <c r="E14" s="1">
        <v>6</v>
      </c>
      <c r="F14" s="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C7FAE-BA91-4B19-B321-5C007079B8BB}">
  <dimension ref="A1:C5"/>
  <sheetViews>
    <sheetView workbookViewId="0">
      <selection sqref="A1:C5"/>
    </sheetView>
  </sheetViews>
  <sheetFormatPr defaultRowHeight="14.4" x14ac:dyDescent="0.3"/>
  <cols>
    <col min="3" max="3" width="10.88671875" bestFit="1" customWidth="1"/>
  </cols>
  <sheetData>
    <row r="1" spans="1:3" x14ac:dyDescent="0.3">
      <c r="A1" s="1" t="s">
        <v>2</v>
      </c>
      <c r="B1" s="1" t="s">
        <v>16</v>
      </c>
      <c r="C1" s="1" t="s">
        <v>17</v>
      </c>
    </row>
    <row r="2" spans="1:3" x14ac:dyDescent="0.3">
      <c r="A2" s="1" t="s">
        <v>7</v>
      </c>
      <c r="B2" s="1" t="s">
        <v>18</v>
      </c>
      <c r="C2" s="1" t="s">
        <v>19</v>
      </c>
    </row>
    <row r="3" spans="1:3" x14ac:dyDescent="0.3">
      <c r="A3" s="1" t="s">
        <v>9</v>
      </c>
      <c r="B3" s="1" t="s">
        <v>20</v>
      </c>
      <c r="C3" s="1" t="s">
        <v>19</v>
      </c>
    </row>
    <row r="4" spans="1:3" x14ac:dyDescent="0.3">
      <c r="A4" s="1" t="s">
        <v>11</v>
      </c>
      <c r="B4" s="1" t="s">
        <v>21</v>
      </c>
      <c r="C4" s="1" t="s">
        <v>22</v>
      </c>
    </row>
    <row r="5" spans="1:3" x14ac:dyDescent="0.3">
      <c r="A5" s="1" t="s">
        <v>13</v>
      </c>
      <c r="B5" s="1" t="s">
        <v>23</v>
      </c>
      <c r="C5" s="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311B0-1620-46E3-B885-C07B445FE5E3}">
  <dimension ref="A1:K21"/>
  <sheetViews>
    <sheetView workbookViewId="0">
      <selection activeCell="A17" sqref="A17:C21"/>
    </sheetView>
  </sheetViews>
  <sheetFormatPr defaultRowHeight="14.4" x14ac:dyDescent="0.3"/>
  <cols>
    <col min="2" max="2" width="13.77734375" bestFit="1" customWidth="1"/>
    <col min="3" max="3" width="10.88671875" bestFit="1" customWidth="1"/>
    <col min="5" max="5" width="13.109375" bestFit="1" customWidth="1"/>
    <col min="6" max="6" width="10.44140625" bestFit="1" customWidth="1"/>
    <col min="7" max="7" width="13.77734375" bestFit="1" customWidth="1"/>
    <col min="8" max="8" width="10.8867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3">
      <c r="A2" s="1">
        <v>1</v>
      </c>
      <c r="B2" s="1" t="s">
        <v>6</v>
      </c>
      <c r="C2" s="1" t="s">
        <v>7</v>
      </c>
      <c r="D2" s="1" t="s">
        <v>8</v>
      </c>
      <c r="E2" s="1">
        <v>2</v>
      </c>
      <c r="F2" s="1">
        <v>2</v>
      </c>
    </row>
    <row r="3" spans="1:11" x14ac:dyDescent="0.3">
      <c r="A3" s="1">
        <v>2</v>
      </c>
      <c r="B3" s="1" t="s">
        <v>6</v>
      </c>
      <c r="C3" s="1" t="s">
        <v>9</v>
      </c>
      <c r="D3" s="1" t="s">
        <v>10</v>
      </c>
      <c r="E3" s="1">
        <v>3</v>
      </c>
      <c r="F3" s="1">
        <v>4</v>
      </c>
      <c r="J3" s="1" t="s">
        <v>24</v>
      </c>
      <c r="K3" s="1">
        <f>COUNTA(Raw!A2:A14)</f>
        <v>13</v>
      </c>
    </row>
    <row r="4" spans="1:11" x14ac:dyDescent="0.3">
      <c r="A4" s="1">
        <v>3</v>
      </c>
      <c r="B4" s="1" t="s">
        <v>6</v>
      </c>
      <c r="C4" s="1" t="s">
        <v>11</v>
      </c>
      <c r="D4" s="1" t="s">
        <v>12</v>
      </c>
      <c r="E4" s="1">
        <v>5</v>
      </c>
      <c r="F4" s="1">
        <v>8</v>
      </c>
      <c r="J4" s="1" t="s">
        <v>25</v>
      </c>
      <c r="K4" s="1">
        <f>COUNTA(A2:A13)</f>
        <v>12</v>
      </c>
    </row>
    <row r="5" spans="1:11" x14ac:dyDescent="0.3">
      <c r="A5" s="1">
        <v>4</v>
      </c>
      <c r="B5" s="1" t="s">
        <v>6</v>
      </c>
      <c r="C5" s="1" t="s">
        <v>13</v>
      </c>
      <c r="D5" s="1" t="s">
        <v>8</v>
      </c>
      <c r="E5" s="1">
        <v>6</v>
      </c>
      <c r="F5" s="1">
        <v>10</v>
      </c>
    </row>
    <row r="6" spans="1:11" x14ac:dyDescent="0.3">
      <c r="A6" s="1">
        <v>5</v>
      </c>
      <c r="B6" s="1" t="s">
        <v>14</v>
      </c>
      <c r="C6" s="1" t="s">
        <v>7</v>
      </c>
      <c r="D6" s="1" t="s">
        <v>10</v>
      </c>
      <c r="E6" s="1">
        <v>2</v>
      </c>
      <c r="F6" s="1">
        <v>5</v>
      </c>
    </row>
    <row r="7" spans="1:11" x14ac:dyDescent="0.3">
      <c r="A7" s="1">
        <v>6</v>
      </c>
      <c r="B7" s="1" t="s">
        <v>14</v>
      </c>
      <c r="C7" s="1" t="s">
        <v>9</v>
      </c>
      <c r="D7" s="1" t="s">
        <v>12</v>
      </c>
      <c r="E7" s="1">
        <v>3</v>
      </c>
      <c r="F7" s="1">
        <v>3</v>
      </c>
    </row>
    <row r="8" spans="1:11" x14ac:dyDescent="0.3">
      <c r="A8" s="1">
        <v>7</v>
      </c>
      <c r="B8" s="1" t="s">
        <v>14</v>
      </c>
      <c r="C8" s="1" t="s">
        <v>11</v>
      </c>
      <c r="D8" s="1" t="s">
        <v>12</v>
      </c>
      <c r="E8" s="1">
        <v>5</v>
      </c>
      <c r="F8" s="1">
        <v>10</v>
      </c>
    </row>
    <row r="9" spans="1:11" x14ac:dyDescent="0.3">
      <c r="A9" s="1">
        <v>8</v>
      </c>
      <c r="B9" s="1" t="s">
        <v>14</v>
      </c>
      <c r="C9" s="1" t="s">
        <v>13</v>
      </c>
      <c r="D9" s="1" t="s">
        <v>10</v>
      </c>
      <c r="E9" s="1">
        <v>6</v>
      </c>
      <c r="F9" s="1">
        <v>7</v>
      </c>
    </row>
    <row r="10" spans="1:11" x14ac:dyDescent="0.3">
      <c r="A10" s="1">
        <v>9</v>
      </c>
      <c r="B10" s="1" t="s">
        <v>15</v>
      </c>
      <c r="C10" s="1" t="s">
        <v>7</v>
      </c>
      <c r="D10" s="1" t="s">
        <v>12</v>
      </c>
      <c r="E10" s="1">
        <v>2</v>
      </c>
      <c r="F10" s="1">
        <v>8</v>
      </c>
    </row>
    <row r="11" spans="1:11" x14ac:dyDescent="0.3">
      <c r="A11" s="1">
        <v>10</v>
      </c>
      <c r="B11" s="1" t="s">
        <v>15</v>
      </c>
      <c r="C11" s="1" t="s">
        <v>9</v>
      </c>
      <c r="D11" s="1" t="s">
        <v>8</v>
      </c>
      <c r="E11" s="1">
        <v>3</v>
      </c>
      <c r="F11" s="1">
        <v>5</v>
      </c>
    </row>
    <row r="12" spans="1:11" x14ac:dyDescent="0.3">
      <c r="A12" s="1">
        <v>11</v>
      </c>
      <c r="B12" s="1" t="s">
        <v>15</v>
      </c>
      <c r="C12" s="1" t="s">
        <v>11</v>
      </c>
      <c r="D12" s="1" t="s">
        <v>10</v>
      </c>
      <c r="E12" s="1">
        <v>5</v>
      </c>
      <c r="F12" s="1">
        <v>5</v>
      </c>
    </row>
    <row r="13" spans="1:11" x14ac:dyDescent="0.3">
      <c r="A13" s="1">
        <v>12</v>
      </c>
      <c r="B13" s="1" t="s">
        <v>15</v>
      </c>
      <c r="C13" s="1" t="s">
        <v>13</v>
      </c>
      <c r="D13" s="1" t="s">
        <v>8</v>
      </c>
      <c r="E13" s="1">
        <v>6</v>
      </c>
      <c r="F13" s="1">
        <v>15</v>
      </c>
    </row>
    <row r="17" spans="1:8" x14ac:dyDescent="0.3">
      <c r="A17" s="1" t="s">
        <v>2</v>
      </c>
      <c r="B17" s="1" t="s">
        <v>16</v>
      </c>
      <c r="C17" s="1" t="s">
        <v>17</v>
      </c>
      <c r="F17" s="1" t="s">
        <v>2</v>
      </c>
      <c r="G17" s="1" t="s">
        <v>16</v>
      </c>
      <c r="H17" s="1" t="s">
        <v>17</v>
      </c>
    </row>
    <row r="18" spans="1:8" x14ac:dyDescent="0.3">
      <c r="A18" s="1" t="s">
        <v>7</v>
      </c>
      <c r="B18" s="1" t="s">
        <v>18</v>
      </c>
      <c r="C18" s="1" t="s">
        <v>19</v>
      </c>
      <c r="F18" s="1" t="s">
        <v>11</v>
      </c>
      <c r="G18" s="1" t="str" cm="1">
        <f t="array" ref="G18:H18">_xlfn.XLOOKUP(F18,A18:A21,B18:C21)</f>
        <v>Highway Freight</v>
      </c>
      <c r="H18" s="1" t="str">
        <v>Standard</v>
      </c>
    </row>
    <row r="19" spans="1:8" x14ac:dyDescent="0.3">
      <c r="A19" s="1" t="s">
        <v>9</v>
      </c>
      <c r="B19" s="1" t="s">
        <v>20</v>
      </c>
      <c r="C19" s="1" t="s">
        <v>19</v>
      </c>
    </row>
    <row r="20" spans="1:8" x14ac:dyDescent="0.3">
      <c r="A20" s="1" t="s">
        <v>11</v>
      </c>
      <c r="B20" s="1" t="s">
        <v>21</v>
      </c>
      <c r="C20" s="1" t="s">
        <v>22</v>
      </c>
    </row>
    <row r="21" spans="1:8" x14ac:dyDescent="0.3">
      <c r="A21" s="1" t="s">
        <v>13</v>
      </c>
      <c r="B21" s="1" t="s">
        <v>23</v>
      </c>
      <c r="C21" s="1" t="s">
        <v>22</v>
      </c>
    </row>
  </sheetData>
  <dataValidations count="1">
    <dataValidation type="list" allowBlank="1" showInputMessage="1" showErrorMessage="1" sqref="F18" xr:uid="{F5BD2E7C-2079-4B32-AD6A-F1244EE3024A}">
      <formula1>$A$18:$A$21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69C55-3743-473D-B917-C8F39CE8A98D}">
  <dimension ref="A1:N22"/>
  <sheetViews>
    <sheetView tabSelected="1" workbookViewId="0">
      <selection activeCell="R18" sqref="R18"/>
    </sheetView>
  </sheetViews>
  <sheetFormatPr defaultRowHeight="14.4" x14ac:dyDescent="0.3"/>
  <cols>
    <col min="1" max="1" width="16.33203125" bestFit="1" customWidth="1"/>
    <col min="2" max="2" width="15.5546875" bestFit="1" customWidth="1"/>
    <col min="3" max="4" width="4.109375" bestFit="1" customWidth="1"/>
    <col min="5" max="5" width="10.5546875" bestFit="1" customWidth="1"/>
    <col min="6" max="6" width="10.44140625" bestFit="1" customWidth="1"/>
    <col min="7" max="7" width="9.6640625" bestFit="1" customWidth="1"/>
    <col min="8" max="8" width="10.88671875" bestFit="1" customWidth="1"/>
    <col min="14" max="14" width="10.88671875" bestFit="1" customWidth="1"/>
  </cols>
  <sheetData>
    <row r="1" spans="1:14" x14ac:dyDescent="0.3">
      <c r="A1" t="s">
        <v>27</v>
      </c>
    </row>
    <row r="2" spans="1:14" x14ac:dyDescent="0.3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26</v>
      </c>
      <c r="H2" s="6" t="s">
        <v>17</v>
      </c>
      <c r="L2" s="1" t="s">
        <v>2</v>
      </c>
      <c r="M2" s="1" t="s">
        <v>16</v>
      </c>
      <c r="N2" s="1" t="s">
        <v>17</v>
      </c>
    </row>
    <row r="3" spans="1:14" x14ac:dyDescent="0.3">
      <c r="A3" s="4">
        <v>1</v>
      </c>
      <c r="B3" s="5" t="s">
        <v>6</v>
      </c>
      <c r="C3" s="5" t="s">
        <v>7</v>
      </c>
      <c r="D3" s="5" t="s">
        <v>8</v>
      </c>
      <c r="E3" s="5">
        <v>2</v>
      </c>
      <c r="F3" s="5">
        <v>2</v>
      </c>
      <c r="G3" s="5">
        <v>0</v>
      </c>
      <c r="H3" s="1" t="str" cm="1">
        <f t="array" ref="H3">_xlfn.IFS(C3="R1","Express",C3="R2","Express",C3="R3","Standard",C3="R4","Standard")</f>
        <v>Express</v>
      </c>
      <c r="L3" s="1" t="s">
        <v>7</v>
      </c>
      <c r="M3" s="1" t="s">
        <v>18</v>
      </c>
      <c r="N3" s="1" t="s">
        <v>19</v>
      </c>
    </row>
    <row r="4" spans="1:14" x14ac:dyDescent="0.3">
      <c r="A4" s="4">
        <v>2</v>
      </c>
      <c r="B4" s="5" t="s">
        <v>6</v>
      </c>
      <c r="C4" s="5" t="s">
        <v>9</v>
      </c>
      <c r="D4" s="5" t="s">
        <v>10</v>
      </c>
      <c r="E4" s="5">
        <v>3</v>
      </c>
      <c r="F4" s="5">
        <v>4</v>
      </c>
      <c r="G4" s="5">
        <v>1</v>
      </c>
      <c r="H4" s="1" t="str" cm="1">
        <f t="array" ref="H4">_xlfn.IFS(C4="R1","Express",C4="R2","Express",C4="R3","Standard",C4="R4","Standard")</f>
        <v>Express</v>
      </c>
      <c r="L4" s="1" t="s">
        <v>9</v>
      </c>
      <c r="M4" s="1" t="s">
        <v>20</v>
      </c>
      <c r="N4" s="1" t="s">
        <v>19</v>
      </c>
    </row>
    <row r="5" spans="1:14" x14ac:dyDescent="0.3">
      <c r="A5" s="4">
        <v>3</v>
      </c>
      <c r="B5" s="5" t="s">
        <v>6</v>
      </c>
      <c r="C5" s="5" t="s">
        <v>11</v>
      </c>
      <c r="D5" s="5" t="s">
        <v>12</v>
      </c>
      <c r="E5" s="5">
        <v>5</v>
      </c>
      <c r="F5" s="5">
        <v>8</v>
      </c>
      <c r="G5" s="5">
        <v>3</v>
      </c>
      <c r="H5" s="1" t="str" cm="1">
        <f t="array" ref="H5">_xlfn.IFS(C5="R1","Express",C5="R2","Express",C5="R3","Standard",C5="R4","Standard")</f>
        <v>Standard</v>
      </c>
      <c r="L5" s="1" t="s">
        <v>11</v>
      </c>
      <c r="M5" s="1" t="s">
        <v>21</v>
      </c>
      <c r="N5" s="1" t="s">
        <v>22</v>
      </c>
    </row>
    <row r="6" spans="1:14" x14ac:dyDescent="0.3">
      <c r="A6" s="4">
        <v>4</v>
      </c>
      <c r="B6" s="5" t="s">
        <v>6</v>
      </c>
      <c r="C6" s="5" t="s">
        <v>13</v>
      </c>
      <c r="D6" s="5" t="s">
        <v>8</v>
      </c>
      <c r="E6" s="5">
        <v>6</v>
      </c>
      <c r="F6" s="5">
        <v>10</v>
      </c>
      <c r="G6" s="5">
        <v>4</v>
      </c>
      <c r="H6" s="1" t="str" cm="1">
        <f t="array" ref="H6">_xlfn.IFS(C6="R1","Express",C6="R2","Express",C6="R3","Standard",C6="R4","Standard")</f>
        <v>Standard</v>
      </c>
      <c r="L6" s="1" t="s">
        <v>13</v>
      </c>
      <c r="M6" s="1" t="s">
        <v>23</v>
      </c>
      <c r="N6" s="1" t="s">
        <v>22</v>
      </c>
    </row>
    <row r="7" spans="1:14" x14ac:dyDescent="0.3">
      <c r="A7" s="4">
        <v>5</v>
      </c>
      <c r="B7" s="5" t="s">
        <v>14</v>
      </c>
      <c r="C7" s="5" t="s">
        <v>7</v>
      </c>
      <c r="D7" s="5" t="s">
        <v>10</v>
      </c>
      <c r="E7" s="5">
        <v>2</v>
      </c>
      <c r="F7" s="5">
        <v>5</v>
      </c>
      <c r="G7" s="5">
        <v>3</v>
      </c>
      <c r="H7" s="1" t="str" cm="1">
        <f t="array" ref="H7">_xlfn.IFS(C7="R1","Express",C7="R2","Express",C7="R3","Standard",C7="R4","Standard")</f>
        <v>Express</v>
      </c>
    </row>
    <row r="8" spans="1:14" x14ac:dyDescent="0.3">
      <c r="A8" s="4">
        <v>6</v>
      </c>
      <c r="B8" s="5" t="s">
        <v>14</v>
      </c>
      <c r="C8" s="5" t="s">
        <v>9</v>
      </c>
      <c r="D8" s="5" t="s">
        <v>12</v>
      </c>
      <c r="E8" s="5">
        <v>3</v>
      </c>
      <c r="F8" s="5">
        <v>3</v>
      </c>
      <c r="G8" s="5">
        <v>0</v>
      </c>
      <c r="H8" s="1" t="str" cm="1">
        <f t="array" ref="H8">_xlfn.IFS(C8="R1","Express",C8="R2","Express",C8="R3","Standard",C8="R4","Standard")</f>
        <v>Express</v>
      </c>
    </row>
    <row r="9" spans="1:14" x14ac:dyDescent="0.3">
      <c r="A9" s="4">
        <v>7</v>
      </c>
      <c r="B9" s="5" t="s">
        <v>14</v>
      </c>
      <c r="C9" s="5" t="s">
        <v>11</v>
      </c>
      <c r="D9" s="5" t="s">
        <v>12</v>
      </c>
      <c r="E9" s="5">
        <v>5</v>
      </c>
      <c r="F9" s="5">
        <v>10</v>
      </c>
      <c r="G9" s="5">
        <v>5</v>
      </c>
      <c r="H9" s="1" t="str" cm="1">
        <f t="array" ref="H9">_xlfn.IFS(C9="R1","Express",C9="R2","Express",C9="R3","Standard",C9="R4","Standard")</f>
        <v>Standard</v>
      </c>
    </row>
    <row r="10" spans="1:14" x14ac:dyDescent="0.3">
      <c r="A10" s="4">
        <v>8</v>
      </c>
      <c r="B10" s="5" t="s">
        <v>14</v>
      </c>
      <c r="C10" s="5" t="s">
        <v>13</v>
      </c>
      <c r="D10" s="5" t="s">
        <v>10</v>
      </c>
      <c r="E10" s="5">
        <v>6</v>
      </c>
      <c r="F10" s="5">
        <v>7</v>
      </c>
      <c r="G10" s="5">
        <v>1</v>
      </c>
      <c r="H10" s="1" t="str" cm="1">
        <f t="array" ref="H10">_xlfn.IFS(C10="R1","Express",C10="R2","Express",C10="R3","Standard",C10="R4","Standard")</f>
        <v>Standard</v>
      </c>
    </row>
    <row r="11" spans="1:14" x14ac:dyDescent="0.3">
      <c r="A11" s="4">
        <v>9</v>
      </c>
      <c r="B11" s="5" t="s">
        <v>15</v>
      </c>
      <c r="C11" s="5" t="s">
        <v>7</v>
      </c>
      <c r="D11" s="5" t="s">
        <v>12</v>
      </c>
      <c r="E11" s="5">
        <v>2</v>
      </c>
      <c r="F11" s="5">
        <v>8</v>
      </c>
      <c r="G11" s="5">
        <v>6</v>
      </c>
      <c r="H11" s="1" t="str" cm="1">
        <f t="array" ref="H11">_xlfn.IFS(C11="R1","Express",C11="R2","Express",C11="R3","Standard",C11="R4","Standard")</f>
        <v>Express</v>
      </c>
    </row>
    <row r="12" spans="1:14" x14ac:dyDescent="0.3">
      <c r="A12" s="4">
        <v>10</v>
      </c>
      <c r="B12" s="5" t="s">
        <v>15</v>
      </c>
      <c r="C12" s="5" t="s">
        <v>9</v>
      </c>
      <c r="D12" s="5" t="s">
        <v>8</v>
      </c>
      <c r="E12" s="5">
        <v>3</v>
      </c>
      <c r="F12" s="5">
        <v>5</v>
      </c>
      <c r="G12" s="5">
        <v>2</v>
      </c>
      <c r="H12" s="1" t="str" cm="1">
        <f t="array" ref="H12">_xlfn.IFS(C12="R1","Express",C12="R2","Express",C12="R3","Standard",C12="R4","Standard")</f>
        <v>Express</v>
      </c>
    </row>
    <row r="13" spans="1:14" x14ac:dyDescent="0.3">
      <c r="A13" s="4">
        <v>11</v>
      </c>
      <c r="B13" s="5" t="s">
        <v>15</v>
      </c>
      <c r="C13" s="5" t="s">
        <v>11</v>
      </c>
      <c r="D13" s="5" t="s">
        <v>10</v>
      </c>
      <c r="E13" s="5">
        <v>5</v>
      </c>
      <c r="F13" s="5">
        <v>5</v>
      </c>
      <c r="G13" s="5">
        <v>0</v>
      </c>
      <c r="H13" s="1" t="str" cm="1">
        <f t="array" ref="H13">_xlfn.IFS(C13="R1","Express",C13="R2","Express",C13="R3","Standard",C13="R4","Standard")</f>
        <v>Standard</v>
      </c>
    </row>
    <row r="14" spans="1:14" x14ac:dyDescent="0.3">
      <c r="A14" s="4">
        <v>12</v>
      </c>
      <c r="B14" s="5" t="s">
        <v>15</v>
      </c>
      <c r="C14" s="5" t="s">
        <v>13</v>
      </c>
      <c r="D14" s="5" t="s">
        <v>8</v>
      </c>
      <c r="E14" s="5">
        <v>6</v>
      </c>
      <c r="F14" s="5">
        <v>15</v>
      </c>
      <c r="G14" s="5">
        <v>9</v>
      </c>
      <c r="H14" s="1" t="str" cm="1">
        <f t="array" ref="H14">_xlfn.IFS(C14="R1","Express",C14="R2","Express",C14="R3","Standard",C14="R4","Standard")</f>
        <v>Standard</v>
      </c>
    </row>
    <row r="18" spans="1:5" x14ac:dyDescent="0.3">
      <c r="A18" s="8" t="s">
        <v>28</v>
      </c>
      <c r="B18" s="8" t="s">
        <v>31</v>
      </c>
    </row>
    <row r="19" spans="1:5" x14ac:dyDescent="0.3">
      <c r="A19" s="8" t="s">
        <v>29</v>
      </c>
      <c r="B19" t="s">
        <v>6</v>
      </c>
      <c r="C19" t="s">
        <v>14</v>
      </c>
      <c r="D19" t="s">
        <v>15</v>
      </c>
      <c r="E19" t="s">
        <v>30</v>
      </c>
    </row>
    <row r="20" spans="1:5" x14ac:dyDescent="0.3">
      <c r="A20" s="9" t="s">
        <v>19</v>
      </c>
      <c r="B20" s="7">
        <v>1</v>
      </c>
      <c r="C20" s="7">
        <v>3</v>
      </c>
      <c r="D20" s="7">
        <v>8</v>
      </c>
      <c r="E20" s="7">
        <v>12</v>
      </c>
    </row>
    <row r="21" spans="1:5" x14ac:dyDescent="0.3">
      <c r="A21" s="9" t="s">
        <v>22</v>
      </c>
      <c r="B21" s="7">
        <v>7</v>
      </c>
      <c r="C21" s="7">
        <v>6</v>
      </c>
      <c r="D21" s="7">
        <v>9</v>
      </c>
      <c r="E21" s="7">
        <v>22</v>
      </c>
    </row>
    <row r="22" spans="1:5" x14ac:dyDescent="0.3">
      <c r="A22" s="9" t="s">
        <v>30</v>
      </c>
      <c r="B22" s="7">
        <v>8</v>
      </c>
      <c r="C22" s="7">
        <v>9</v>
      </c>
      <c r="D22" s="7">
        <v>17</v>
      </c>
      <c r="E22" s="7">
        <v>34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Lookup</vt:lpstr>
      <vt:lpstr>Clean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Vaja</dc:creator>
  <cp:lastModifiedBy>Om Vaja</cp:lastModifiedBy>
  <dcterms:created xsi:type="dcterms:W3CDTF">2026-10-10T04:43:25Z</dcterms:created>
  <dcterms:modified xsi:type="dcterms:W3CDTF">2026-10-10T04:59:11Z</dcterms:modified>
</cp:coreProperties>
</file>